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ghieumbbankcom-my.sharepoint.com/personal/hieptt1_mbbank_com_vn/Documents/99. Ca nhan/HAWAII/Finance/Github/Corporate-Finance-new/models/builds/"/>
    </mc:Choice>
  </mc:AlternateContent>
  <xr:revisionPtr revIDLastSave="82" documentId="8_{2581EA52-B7A3-4D48-9730-08EE75050679}" xr6:coauthVersionLast="47" xr6:coauthVersionMax="47" xr10:uidLastSave="{61324A9F-DFDA-4279-BE48-EC0962097441}"/>
  <bookViews>
    <workbookView xWindow="-103" yWindow="-103" windowWidth="24892" windowHeight="15943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C7" i="2"/>
  <c r="D11" i="2"/>
  <c r="C30" i="4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C19" i="5" s="1"/>
  <c r="G20" i="2"/>
  <c r="C24" i="5" s="1"/>
  <c r="D16" i="2"/>
  <c r="C16" i="2"/>
  <c r="C11" i="2"/>
  <c r="H10" i="2"/>
  <c r="H15" i="2" s="1"/>
  <c r="G10" i="2"/>
  <c r="G15" i="2" s="1"/>
  <c r="F75" i="5"/>
  <c r="C29" i="5"/>
  <c r="C28" i="5"/>
  <c r="C25" i="5"/>
  <c r="C23" i="5"/>
  <c r="C17" i="5"/>
  <c r="C16" i="5"/>
  <c r="C12" i="5"/>
  <c r="C7" i="5"/>
  <c r="C15" i="5" l="1"/>
  <c r="C36" i="5" s="1"/>
  <c r="H23" i="2"/>
  <c r="C32" i="5"/>
  <c r="C38" i="5" s="1"/>
  <c r="D23" i="2"/>
  <c r="C18" i="5" s="1"/>
  <c r="C30" i="5"/>
  <c r="D13" i="3"/>
  <c r="C15" i="3"/>
  <c r="C33" i="5"/>
  <c r="G23" i="2"/>
  <c r="D10" i="3"/>
  <c r="C26" i="5"/>
  <c r="C27" i="5"/>
  <c r="C23" i="2"/>
  <c r="C31" i="5" s="1"/>
  <c r="C37" i="5" l="1"/>
  <c r="C7" i="4"/>
  <c r="C16" i="4" s="1"/>
  <c r="C32" i="4" s="1"/>
  <c r="C19" i="3"/>
  <c r="D19" i="3" s="1"/>
  <c r="D15" i="3"/>
  <c r="C22" i="5"/>
</calcChain>
</file>

<file path=xl/sharedStrings.xml><?xml version="1.0" encoding="utf-8"?>
<sst xmlns="http://schemas.openxmlformats.org/spreadsheetml/2006/main" count="337" uniqueCount="323">
  <si>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</si>
  <si>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</si>
  <si>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</si>
  <si>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</si>
  <si>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</si>
  <si>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</si>
  <si>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</si>
  <si>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</si>
  <si>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</si>
  <si>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</si>
  <si>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</si>
  <si>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</si>
  <si>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</si>
  <si>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</si>
  <si>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</si>
  <si>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</si>
  <si>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</si>
  <si>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</si>
  <si>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</si>
  <si>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</si>
  <si>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</si>
  <si>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</si>
  <si>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</si>
  <si>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</si>
  <si>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</si>
  <si>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</si>
  <si>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</si>
  <si>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</si>
  <si>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</si>
  <si>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</si>
  <si>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</si>
  <si>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</si>
  <si>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</si>
  <si>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</si>
  <si>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</si>
  <si>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</si>
  <si>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</si>
  <si>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</si>
  <si>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</si>
  <si>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</si>
  <si>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</si>
  <si>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</si>
  <si>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</si>
  <si>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</si>
  <si>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</si>
  <si>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</si>
  <si>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</si>
  <si>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</si>
  <si>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</si>
  <si>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</si>
  <si>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</si>
  <si>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</si>
  <si>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</si>
  <si>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</si>
  <si>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</si>
  <si>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</si>
  <si>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</si>
  <si>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</si>
  <si>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</si>
  <si>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</si>
  <si>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</si>
  <si>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</si>
  <si>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</si>
  <si>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</si>
  <si>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</si>
  <si>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</si>
  <si>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</si>
  <si>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</si>
  <si>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</si>
  <si>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</si>
  <si>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</si>
  <si>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</si>
  <si>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</si>
  <si>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</si>
  <si>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</si>
  <si>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</si>
  <si>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</si>
  <si>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</si>
  <si>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</si>
  <si>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</si>
  <si>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</si>
  <si>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</si>
  <si>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</si>
  <si>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</si>
  <si>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</si>
  <si>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</si>
  <si>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</si>
  <si>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</si>
  <si>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</si>
  <si>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</si>
  <si>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</si>
  <si>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</si>
  <si>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</si>
  <si>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</si>
  <si>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</si>
  <si>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</si>
  <si>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</si>
  <si>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</si>
  <si>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</si>
  <si>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</si>
  <si>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</si>
  <si>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</si>
  <si>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</si>
  <si>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</si>
  <si>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</si>
  <si>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</si>
  <si>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</si>
  <si>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</si>
  <si>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</si>
  <si>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</si>
  <si>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</si>
  <si>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</si>
  <si>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</si>
  <si>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</si>
  <si>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</si>
  <si>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</si>
  <si>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</si>
  <si>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</si>
  <si>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</si>
  <si>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</si>
  <si>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</si>
  <si>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</si>
  <si>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</si>
  <si>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</si>
  <si>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</si>
  <si>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</si>
  <si>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</si>
  <si>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</si>
  <si>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</si>
  <si>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</si>
  <si>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</si>
  <si>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</si>
  <si>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</si>
  <si>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</si>
  <si>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</si>
  <si>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</si>
  <si>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</si>
  <si>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</si>
  <si>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</si>
  <si>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</si>
  <si>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</si>
  <si>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</si>
  <si>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</si>
  <si>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</si>
  <si>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</si>
  <si>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</si>
  <si>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</si>
  <si>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</si>
  <si>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</si>
  <si>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</si>
  <si>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</si>
  <si>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</si>
  <si>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</si>
  <si>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</si>
  <si>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</si>
  <si>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</si>
  <si>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</si>
  <si>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</si>
  <si>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</si>
  <si>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</si>
  <si>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</si>
  <si>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</si>
  <si>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</si>
  <si>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</si>
  <si>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</si>
  <si>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</si>
  <si>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</si>
  <si>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</si>
  <si>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</si>
  <si>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</si>
  <si>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</si>
  <si>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</si>
  <si>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</si>
  <si>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</si>
  <si>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</si>
  <si>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</si>
  <si>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</si>
  <si>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</si>
  <si>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</si>
  <si>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</si>
  <si>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</si>
  <si>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</si>
  <si>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</si>
  <si>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</si>
  <si>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</si>
  <si>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</si>
  <si>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</si>
  <si>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</si>
  <si>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</si>
  <si>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</si>
  <si>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</si>
  <si>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</si>
  <si>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</si>
  <si>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</si>
  <si>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</si>
  <si>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</si>
  <si>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</si>
  <si>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</si>
  <si>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</si>
  <si>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</si>
  <si>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</si>
  <si>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</si>
  <si>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</si>
  <si>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</si>
  <si>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</si>
  <si>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</si>
  <si>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</si>
  <si>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</si>
  <si>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</si>
  <si>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</si>
  <si>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</si>
  <si>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</si>
  <si>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</si>
  <si>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</si>
  <si>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</si>
  <si>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</si>
  <si>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</si>
  <si>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</si>
  <si>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</si>
  <si>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</si>
  <si>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</si>
  <si>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</si>
  <si>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</si>
  <si>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</si>
  <si>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</si>
  <si>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</si>
  <si>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</si>
  <si>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</si>
  <si>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</si>
  <si>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</si>
  <si>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</si>
  <si>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</si>
  <si>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</si>
  <si>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</si>
  <si>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</si>
  <si>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</si>
  <si>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</si>
  <si>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</si>
  <si>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</si>
  <si>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</si>
  <si>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</si>
  <si>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</si>
  <si>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</si>
  <si>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</si>
  <si>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</si>
  <si>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</si>
  <si>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</si>
  <si>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</si>
  <si>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</si>
  <si>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</si>
  <si>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</si>
  <si>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</si>
  <si>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</si>
  <si>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</si>
  <si>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</si>
  <si>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</si>
  <si>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</si>
  <si>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</si>
  <si>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</si>
  <si>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</si>
  <si>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</si>
  <si>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</si>
  <si>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</si>
  <si>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</si>
  <si>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</si>
  <si>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</si>
  <si>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</si>
  <si>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</si>
  <si>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</si>
  <si>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</si>
  <si>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</si>
  <si>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</si>
  <si>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</si>
  <si>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</si>
  <si>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</si>
  <si>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</si>
  <si>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</si>
  <si>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</si>
  <si>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</si>
  <si>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</si>
  <si>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</si>
  <si>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</si>
  <si>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</si>
  <si>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</si>
  <si>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</si>
  <si>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</si>
  <si>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Ticker</t>
  </si>
  <si>
    <t>Industry</t>
  </si>
  <si>
    <t>Fiscal Year (current)</t>
  </si>
  <si>
    <t>Fiscal Year (prior)</t>
  </si>
  <si>
    <t>Data Source</t>
  </si>
  <si>
    <t>Units</t>
  </si>
  <si>
    <t>Tax Rate</t>
  </si>
  <si>
    <t>Cost of Capital</t>
  </si>
  <si>
    <t>Share Price</t>
  </si>
  <si>
    <t>Shares Outstanding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</si>
  <si>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</si>
  <si>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</si>
  <si>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</si>
  <si>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</si>
  <si>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</si>
  <si>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</si>
  <si>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</si>
  <si>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</si>
  <si>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</si>
  <si>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</si>
  <si>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</si>
  <si>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</si>
  <si>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</si>
  <si>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</si>
  <si>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</si>
  <si>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All figures in VND billions unless otherwise noted</t>
  </si>
  <si>
    <t>Current fiscal year · figures in VND billions</t>
  </si>
  <si>
    <t>VNM: Vietnam Dairy Products Joint Stock Company - VINAMILK | Vietstockfinance</t>
  </si>
  <si>
    <t>Vietnam Dairy Products Joint Stock Company</t>
  </si>
  <si>
    <t>VNM (HOSE)</t>
  </si>
  <si>
    <t>Food &amp; Beverage — Dairy Products</t>
  </si>
  <si>
    <t>FY2025 (1 Jan – 31 Dec 2025)</t>
  </si>
  <si>
    <t>FY2024</t>
  </si>
  <si>
    <t>20%</t>
  </si>
  <si>
    <t>9%</t>
  </si>
  <si>
    <t>65,100 VND/share (HOSE 31/12/2025)</t>
  </si>
  <si>
    <t>2090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</si>
</sst>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#,##0.00;\(#,##0.00\);&quot;—&quot;"/>
    <numFmt numFmtId="168" formatCode="0.00&quot;x&quot;"/>
    <numFmt numFmtId="169" formatCode="0.0&quot; days&quot;"/>
    <numFmt numFmtId="170" formatCode="0.000"/>
    <numFmt numFmtId="171" formatCode="[$VND]\ #,##0.00"/>
  </numFmts>
  <fonts count="19" x14ac:knownFonts="1">
    <font>
      <sz val="11"/>
      <color theme="1"/>
      <name val="Calibri"/>
      <family val="2"/>
      <scheme val="minor"/>
    </font>
    <font>
      <b/>
      <sz val="9"/>
      <color rgb="FF024731"/>
      <name val="Open Sans"/>
      <family val="2"/>
    </font>
    <font>
      <b/>
      <sz val="18"/>
      <color rgb="FF000000"/>
      <name val="Open Sans"/>
      <family val="2"/>
    </font>
    <font>
      <sz val="12"/>
      <color rgb="FF525252"/>
      <name val="Open Sans"/>
      <family val="2"/>
    </font>
    <font>
      <b/>
      <sz val="13"/>
      <color rgb="FF024731"/>
      <name val="Open Sans"/>
      <family val="2"/>
    </font>
    <font>
      <b/>
      <sz val="10"/>
      <color rgb="FF024731"/>
      <name val="Open Sans"/>
      <family val="2"/>
    </font>
    <font>
      <sz val="10"/>
      <color rgb="FF000000"/>
      <name val="Open Sans"/>
      <family val="2"/>
    </font>
    <font>
      <b/>
      <sz val="11"/>
      <color rgb="FFFFFFFF"/>
      <name val="Open Sans"/>
      <family val="2"/>
    </font>
    <font>
      <b/>
      <sz val="10"/>
      <color rgb="FF0000FF"/>
      <name val="Open Sans"/>
      <family val="2"/>
    </font>
    <font>
      <sz val="10"/>
      <color rgb="FF008000"/>
      <name val="Open Sans"/>
      <family val="2"/>
    </font>
    <font>
      <b/>
      <sz val="10"/>
      <color rgb="FF000000"/>
      <name val="Open Sans"/>
      <family val="2"/>
    </font>
    <font>
      <sz val="10"/>
      <color rgb="FF525252"/>
      <name val="Consolas"/>
      <family val="3"/>
    </font>
    <font>
      <i/>
      <sz val="8"/>
      <color rgb="FF525252"/>
      <name val="Open Sans"/>
      <family val="2"/>
    </font>
    <font>
      <b/>
      <sz val="16"/>
      <color rgb="FF024731"/>
      <name val="Open Sans"/>
      <family val="2"/>
    </font>
    <font>
      <i/>
      <sz val="9"/>
      <color rgb="FF525252"/>
      <name val="Open Sans"/>
      <family val="2"/>
    </font>
    <font>
      <i/>
      <sz val="10"/>
      <color rgb="FF525252"/>
      <name val="Open Sans"/>
      <family val="2"/>
    </font>
    <font>
      <sz val="9"/>
      <color rgb="FF525252"/>
      <name val="Consolas"/>
      <family val="3"/>
    </font>
    <font>
      <b/>
      <sz val="11"/>
      <color rgb="FF024731"/>
      <name val="Open Sans"/>
      <family val="2"/>
    </font>
    <font>
      <sz val="10"/>
      <color rgb="FF024731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  <fill>
      <patternFill patternType="solid">
        <fgColor rgb="FFFFFF00"/>
        <bgColor rgb="FFDCE6F1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7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8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171" fontId="8" fillId="8" borderId="1" xfId="0" applyNumberFormat="1" applyFont="1" applyFill="1" applyBorder="1"/>
    <xf numFmtId="0" fontId="17" fillId="7" borderId="0" xfId="0" applyFont="1" applyFill="1"/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9" fontId="6" fillId="0" borderId="0" xfId="0" quotePrefix="1" applyNumberFormat="1" applyFont="1" applyAlignment="1">
      <alignment vertical="top" wrapText="1"/>
    </xf>
    <xf numFmtId="0" fontId="6" fillId="0" borderId="0" xfId="0" quotePrefix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tabSelected="1" topLeftCell="A30" workbookViewId="0">
      <selection activeCell="B10" sqref="B10"/>
    </sheetView>
  </sheetViews>
  <sheetFormatPr defaultRowHeight="14.6" x14ac:dyDescent="0.4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.0500000000000007" customHeight="1" x14ac:dyDescent="0.4">
      <c r="B2" s="1"/>
      <c r="C2" s="1"/>
    </row>
    <row r="4" spans="2:3" x14ac:dyDescent="0.4">
      <c r="B4" s="47" t="s">
        <v>157</v>
      </c>
      <c r="C4" s="46"/>
    </row>
    <row r="5" spans="2:3" ht="26.05" customHeight="1" x14ac:dyDescent="0.8">
      <c r="B5" s="50" t="s">
        <v>158</v>
      </c>
      <c r="C5" s="46"/>
    </row>
    <row r="6" spans="2:3" ht="18" customHeight="1" x14ac:dyDescent="0.55000000000000004">
      <c r="B6" s="48" t="s">
        <v>159</v>
      </c>
      <c r="C6" s="46"/>
    </row>
    <row r="7" spans="2:3" ht="4" customHeight="1" x14ac:dyDescent="0.4">
      <c r="B7" s="2"/>
      <c r="C7" s="2"/>
    </row>
    <row r="9" spans="2:3" ht="19.5" customHeight="1" x14ac:dyDescent="0.6">
      <c r="B9" s="49" t="s">
        <v>160</v>
      </c>
      <c r="C9" s="46"/>
    </row>
    <row r="10" spans="2:3" ht="18" customHeight="1" x14ac:dyDescent="0.4">
      <c r="B10" s="3" t="s">
        <v>161</v>
      </c>
      <c r="C10" s="4" t="s">
        <v>162</v>
      </c>
    </row>
    <row r="11" spans="2:3" ht="18" customHeight="1" x14ac:dyDescent="0.4">
      <c r="B11" s="3" t="s">
        <v>163</v>
      </c>
      <c r="C11" s="4" t="s">
        <v>164</v>
      </c>
    </row>
    <row r="12" spans="2:3" ht="18" customHeight="1" x14ac:dyDescent="0.4">
      <c r="B12" s="3" t="s">
        <v>165</v>
      </c>
      <c r="C12" s="4" t="s">
        <v>166</v>
      </c>
    </row>
    <row r="13" spans="2:3" ht="18" customHeight="1" x14ac:dyDescent="0.4">
      <c r="B13" s="3" t="s">
        <v>167</v>
      </c>
      <c r="C13" s="4" t="s">
        <v>168</v>
      </c>
    </row>
    <row r="14" spans="2:3" ht="18" customHeight="1" x14ac:dyDescent="0.4">
      <c r="B14" s="3" t="s">
        <v>169</v>
      </c>
      <c r="C14" s="4" t="s">
        <v>170</v>
      </c>
    </row>
    <row r="15" spans="2:3" ht="18" customHeight="1" x14ac:dyDescent="0.4">
      <c r="B15" s="3" t="s">
        <v>171</v>
      </c>
      <c r="C15" s="4" t="s">
        <v>172</v>
      </c>
    </row>
    <row r="17" spans="2:3" ht="19.5" customHeight="1" x14ac:dyDescent="0.6">
      <c r="B17" s="49" t="s">
        <v>173</v>
      </c>
      <c r="C17" s="46"/>
    </row>
    <row r="18" spans="2:3" ht="16.5" customHeight="1" x14ac:dyDescent="0.55000000000000004">
      <c r="B18" s="5" t="s">
        <v>174</v>
      </c>
      <c r="C18" s="5" t="s">
        <v>175</v>
      </c>
    </row>
    <row r="19" spans="2:3" ht="30" customHeight="1" x14ac:dyDescent="0.5">
      <c r="B19" s="6" t="s">
        <v>176</v>
      </c>
      <c r="C19" s="7" t="s">
        <v>177</v>
      </c>
    </row>
    <row r="20" spans="2:3" ht="30" customHeight="1" x14ac:dyDescent="0.5">
      <c r="B20" s="8" t="s">
        <v>178</v>
      </c>
      <c r="C20" s="7" t="s">
        <v>179</v>
      </c>
    </row>
    <row r="21" spans="2:3" ht="30" customHeight="1" x14ac:dyDescent="0.5">
      <c r="B21" s="9" t="s">
        <v>180</v>
      </c>
      <c r="C21" s="7" t="s">
        <v>181</v>
      </c>
    </row>
    <row r="22" spans="2:3" ht="30" customHeight="1" x14ac:dyDescent="0.5">
      <c r="B22" s="10" t="s">
        <v>182</v>
      </c>
      <c r="C22" s="7" t="s">
        <v>183</v>
      </c>
    </row>
    <row r="24" spans="2:3" ht="19.5" customHeight="1" x14ac:dyDescent="0.6">
      <c r="B24" s="49" t="s">
        <v>184</v>
      </c>
      <c r="C24" s="46"/>
    </row>
    <row r="25" spans="2:3" ht="16.5" customHeight="1" x14ac:dyDescent="0.55000000000000004">
      <c r="B25" s="5" t="s">
        <v>185</v>
      </c>
      <c r="C25" s="5" t="s">
        <v>175</v>
      </c>
    </row>
    <row r="26" spans="2:3" ht="24" customHeight="1" x14ac:dyDescent="0.4">
      <c r="B26" s="11" t="s">
        <v>186</v>
      </c>
      <c r="C26" s="7" t="s">
        <v>187</v>
      </c>
    </row>
    <row r="27" spans="2:3" ht="24" customHeight="1" x14ac:dyDescent="0.4">
      <c r="B27" s="11" t="s">
        <v>188</v>
      </c>
      <c r="C27" s="7" t="s">
        <v>189</v>
      </c>
    </row>
    <row r="28" spans="2:3" ht="24" customHeight="1" x14ac:dyDescent="0.4">
      <c r="B28" s="11" t="s">
        <v>190</v>
      </c>
      <c r="C28" s="7" t="s">
        <v>191</v>
      </c>
    </row>
    <row r="29" spans="2:3" ht="24" customHeight="1" x14ac:dyDescent="0.4">
      <c r="B29" s="11" t="s">
        <v>192</v>
      </c>
      <c r="C29" s="7" t="s">
        <v>193</v>
      </c>
    </row>
    <row r="30" spans="2:3" ht="24" customHeight="1" x14ac:dyDescent="0.4">
      <c r="B30" s="11" t="s">
        <v>194</v>
      </c>
      <c r="C30" s="7" t="s">
        <v>195</v>
      </c>
    </row>
    <row r="31" spans="2:3" ht="24" customHeight="1" x14ac:dyDescent="0.4">
      <c r="B31" s="11" t="s">
        <v>196</v>
      </c>
      <c r="C31" s="7" t="s">
        <v>197</v>
      </c>
    </row>
    <row r="32" spans="2:3" ht="24" customHeight="1" x14ac:dyDescent="0.4">
      <c r="B32" s="11" t="s">
        <v>198</v>
      </c>
      <c r="C32" s="7" t="s">
        <v>199</v>
      </c>
    </row>
    <row r="33" spans="2:3" ht="24" customHeight="1" x14ac:dyDescent="0.4">
      <c r="B33" s="11" t="s">
        <v>200</v>
      </c>
      <c r="C33" s="7" t="s">
        <v>201</v>
      </c>
    </row>
    <row r="36" spans="2:3" ht="19.5" customHeight="1" x14ac:dyDescent="0.6">
      <c r="B36" s="49" t="s">
        <v>202</v>
      </c>
      <c r="C36" s="46"/>
    </row>
    <row r="37" spans="2:3" ht="15" customHeight="1" x14ac:dyDescent="0.5">
      <c r="B37" s="12" t="s">
        <v>203</v>
      </c>
      <c r="C37" s="13" t="s">
        <v>204</v>
      </c>
    </row>
    <row r="38" spans="2:3" ht="15" customHeight="1" x14ac:dyDescent="0.5">
      <c r="B38" s="12" t="s">
        <v>205</v>
      </c>
      <c r="C38" s="13" t="s">
        <v>206</v>
      </c>
    </row>
    <row r="41" spans="2:3" x14ac:dyDescent="0.4">
      <c r="B41" s="51" t="s">
        <v>207</v>
      </c>
      <c r="C41" s="46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  <headerFooter>
    <oddHeader>&amp;C&amp;G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4" sqref="B4"/>
    </sheetView>
  </sheetViews>
  <sheetFormatPr defaultRowHeight="14.6" x14ac:dyDescent="0.4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.05" customHeight="1" x14ac:dyDescent="0.75">
      <c r="B2" s="14" t="s">
        <v>208</v>
      </c>
    </row>
    <row r="3" spans="2:8" x14ac:dyDescent="0.4">
      <c r="B3" s="15" t="s">
        <v>311</v>
      </c>
    </row>
    <row r="5" spans="2:8" ht="16.5" customHeight="1" x14ac:dyDescent="0.55000000000000004">
      <c r="B5" s="16" t="s">
        <v>209</v>
      </c>
      <c r="C5" s="17" t="s">
        <v>210</v>
      </c>
      <c r="D5" s="17" t="s">
        <v>211</v>
      </c>
      <c r="F5" s="16" t="s">
        <v>212</v>
      </c>
      <c r="G5" s="17" t="s">
        <v>210</v>
      </c>
      <c r="H5" s="17" t="s">
        <v>211</v>
      </c>
    </row>
    <row r="6" spans="2:8" ht="15" customHeight="1" x14ac:dyDescent="0.5">
      <c r="B6" s="18" t="s">
        <v>213</v>
      </c>
      <c r="F6" s="18" t="s">
        <v>214</v>
      </c>
    </row>
    <row r="7" spans="2:8" ht="15" customHeight="1" x14ac:dyDescent="0.5">
      <c r="B7" s="12" t="s">
        <v>215</v>
      </c>
      <c r="C7" s="19">
        <f>1794.88+21354.86</f>
        <v>23149.74</v>
      </c>
      <c r="D7" s="19">
        <f>2225.94+23260.09</f>
        <v>25486.03</v>
      </c>
      <c r="F7" s="12" t="s">
        <v>216</v>
      </c>
      <c r="G7" s="19">
        <v>9393.7369999999992</v>
      </c>
      <c r="H7" s="19">
        <v>9115.4349999999995</v>
      </c>
    </row>
    <row r="8" spans="2:8" ht="15" customHeight="1" x14ac:dyDescent="0.5">
      <c r="B8" s="12" t="s">
        <v>217</v>
      </c>
      <c r="C8" s="19">
        <v>6027.72</v>
      </c>
      <c r="D8" s="19">
        <v>6233.76</v>
      </c>
      <c r="F8" s="12" t="s">
        <v>218</v>
      </c>
      <c r="G8" s="19">
        <v>3923.3090000000002</v>
      </c>
      <c r="H8" s="19">
        <v>3874.0639999999999</v>
      </c>
    </row>
    <row r="9" spans="2:8" ht="15" customHeight="1" x14ac:dyDescent="0.5">
      <c r="B9" s="12" t="s">
        <v>219</v>
      </c>
      <c r="C9" s="19">
        <v>6839.28</v>
      </c>
      <c r="D9" s="19">
        <v>5686.84</v>
      </c>
      <c r="F9" s="12" t="s">
        <v>220</v>
      </c>
      <c r="G9" s="19">
        <v>5203.24</v>
      </c>
      <c r="H9" s="19">
        <v>5470.0479999999989</v>
      </c>
    </row>
    <row r="10" spans="2:8" ht="15" customHeight="1" x14ac:dyDescent="0.5">
      <c r="B10" s="12" t="s">
        <v>221</v>
      </c>
      <c r="C10" s="19">
        <v>244.43</v>
      </c>
      <c r="D10" s="19">
        <v>147.02000000000001</v>
      </c>
      <c r="F10" s="20" t="s">
        <v>222</v>
      </c>
      <c r="G10" s="21">
        <f>SUM(G7:G9)</f>
        <v>18520.286</v>
      </c>
      <c r="H10" s="21">
        <f>SUM(H7:H9)</f>
        <v>18459.546999999999</v>
      </c>
    </row>
    <row r="11" spans="2:8" ht="15" customHeight="1" x14ac:dyDescent="0.5">
      <c r="B11" s="20" t="s">
        <v>223</v>
      </c>
      <c r="C11" s="21">
        <f>SUM(C7:C10)</f>
        <v>36261.170000000006</v>
      </c>
      <c r="D11" s="21">
        <f>SUM(D7:D10)</f>
        <v>37553.65</v>
      </c>
    </row>
    <row r="12" spans="2:8" ht="15" customHeight="1" x14ac:dyDescent="0.5">
      <c r="F12" s="12" t="s">
        <v>60</v>
      </c>
      <c r="G12" s="19">
        <v>62.908000000000001</v>
      </c>
      <c r="H12" s="19">
        <v>157.904</v>
      </c>
    </row>
    <row r="13" spans="2:8" ht="15" customHeight="1" x14ac:dyDescent="0.5">
      <c r="B13" s="18" t="s">
        <v>224</v>
      </c>
      <c r="F13" s="12" t="s">
        <v>225</v>
      </c>
      <c r="G13" s="19">
        <v>246.161</v>
      </c>
      <c r="H13" s="19">
        <v>257.20800000000003</v>
      </c>
    </row>
    <row r="14" spans="2:8" ht="15" customHeight="1" x14ac:dyDescent="0.5">
      <c r="B14" s="12" t="s">
        <v>226</v>
      </c>
      <c r="C14" s="19">
        <v>34581.519999999997</v>
      </c>
      <c r="D14" s="19">
        <v>32713.052</v>
      </c>
    </row>
    <row r="15" spans="2:8" ht="15" customHeight="1" x14ac:dyDescent="0.5">
      <c r="B15" s="12" t="s">
        <v>227</v>
      </c>
      <c r="C15" s="19">
        <v>22963.401000000002</v>
      </c>
      <c r="D15" s="19">
        <v>21192.850999999999</v>
      </c>
      <c r="F15" s="20" t="s">
        <v>228</v>
      </c>
      <c r="G15" s="21">
        <f>G10+G12+G13</f>
        <v>18829.355</v>
      </c>
      <c r="H15" s="21">
        <f>H10+H12+H13</f>
        <v>18874.658999999996</v>
      </c>
    </row>
    <row r="16" spans="2:8" ht="15" customHeight="1" x14ac:dyDescent="0.5">
      <c r="B16" s="20" t="s">
        <v>229</v>
      </c>
      <c r="C16" s="21">
        <f>C14-C15</f>
        <v>11618.118999999995</v>
      </c>
      <c r="D16" s="21">
        <f>D14-D15</f>
        <v>11520.201000000001</v>
      </c>
    </row>
    <row r="17" spans="2:8" ht="15" customHeight="1" x14ac:dyDescent="0.5">
      <c r="F17" s="18" t="s">
        <v>230</v>
      </c>
    </row>
    <row r="18" spans="2:8" ht="15" customHeight="1" x14ac:dyDescent="0.5">
      <c r="B18" s="18" t="s">
        <v>231</v>
      </c>
      <c r="F18" s="12" t="s">
        <v>232</v>
      </c>
      <c r="G18" s="19">
        <v>20933.665000000001</v>
      </c>
      <c r="H18" s="19">
        <v>20933.665000000001</v>
      </c>
    </row>
    <row r="19" spans="2:8" ht="15" customHeight="1" x14ac:dyDescent="0.5">
      <c r="B19" s="12" t="s">
        <v>233</v>
      </c>
      <c r="C19" s="19">
        <v>1030.797</v>
      </c>
      <c r="D19" s="19">
        <v>1030.364</v>
      </c>
      <c r="F19" s="12" t="s">
        <v>234</v>
      </c>
      <c r="G19" s="19">
        <v>13549.36</v>
      </c>
      <c r="H19" s="19">
        <v>15240.74</v>
      </c>
    </row>
    <row r="20" spans="2:8" ht="15" customHeight="1" x14ac:dyDescent="0.5">
      <c r="B20" s="12" t="s">
        <v>235</v>
      </c>
      <c r="C20" s="19">
        <v>4402.2730000000001</v>
      </c>
      <c r="D20" s="19">
        <v>4944.8470000000007</v>
      </c>
      <c r="F20" s="20" t="s">
        <v>236</v>
      </c>
      <c r="G20" s="21">
        <f>G18+G19</f>
        <v>34483.025000000001</v>
      </c>
      <c r="H20" s="21">
        <f>H18+H19</f>
        <v>36174.404999999999</v>
      </c>
    </row>
    <row r="22" spans="2:8" ht="16.5" customHeight="1" x14ac:dyDescent="0.4"/>
    <row r="23" spans="2:8" ht="16.5" customHeight="1" x14ac:dyDescent="0.55000000000000004">
      <c r="B23" s="5" t="s">
        <v>237</v>
      </c>
      <c r="C23" s="22">
        <f>C11+C16+C19+C20</f>
        <v>53312.359000000004</v>
      </c>
      <c r="D23" s="22">
        <f>D11+D16+D19+D20</f>
        <v>55049.062000000005</v>
      </c>
      <c r="F23" s="5" t="s">
        <v>238</v>
      </c>
      <c r="G23" s="22">
        <f>G15+G20</f>
        <v>53312.380000000005</v>
      </c>
      <c r="H23" s="22">
        <f>H15+H20</f>
        <v>55049.063999999998</v>
      </c>
    </row>
  </sheetData>
  <pageMargins left="0.75" right="0.75" top="1" bottom="1" header="0.5" footer="0.5"/>
  <headerFooter>
    <oddHeader>&amp;C&amp;G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7" activePane="bottomRight" state="frozen"/>
      <selection pane="topRight"/>
      <selection pane="bottomLeft"/>
      <selection pane="bottomRight" activeCell="B4" sqref="B4"/>
    </sheetView>
  </sheetViews>
  <sheetFormatPr defaultRowHeight="14.6" x14ac:dyDescent="0.4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.05" customHeight="1" x14ac:dyDescent="0.75">
      <c r="B2" s="14" t="s">
        <v>239</v>
      </c>
    </row>
    <row r="3" spans="2:4" x14ac:dyDescent="0.4">
      <c r="B3" s="15" t="s">
        <v>312</v>
      </c>
    </row>
    <row r="5" spans="2:4" ht="16.5" customHeight="1" x14ac:dyDescent="0.55000000000000004">
      <c r="B5" s="23" t="s">
        <v>240</v>
      </c>
      <c r="C5" s="23" t="s">
        <v>241</v>
      </c>
      <c r="D5" s="23" t="s">
        <v>242</v>
      </c>
    </row>
    <row r="6" spans="2:4" ht="15" customHeight="1" x14ac:dyDescent="0.5">
      <c r="B6" s="12" t="s">
        <v>243</v>
      </c>
      <c r="C6" s="19">
        <v>63645.89</v>
      </c>
      <c r="D6" s="24">
        <v>1</v>
      </c>
    </row>
    <row r="7" spans="2:4" ht="15" customHeight="1" x14ac:dyDescent="0.5">
      <c r="B7" s="12" t="s">
        <v>244</v>
      </c>
      <c r="C7" s="19">
        <v>35487.58</v>
      </c>
      <c r="D7" s="25">
        <f t="shared" ref="D7:D15" si="0">IFERROR(C7/$C$6,"")</f>
        <v>0.557578501926833</v>
      </c>
    </row>
    <row r="8" spans="2:4" ht="15" customHeight="1" x14ac:dyDescent="0.5">
      <c r="B8" s="12" t="s">
        <v>245</v>
      </c>
      <c r="C8" s="19">
        <v>15131.68</v>
      </c>
      <c r="D8" s="25">
        <f t="shared" si="0"/>
        <v>0.23774795198873014</v>
      </c>
    </row>
    <row r="9" spans="2:4" ht="15" customHeight="1" x14ac:dyDescent="0.5">
      <c r="B9" s="12" t="s">
        <v>246</v>
      </c>
      <c r="C9" s="19">
        <v>2362.91</v>
      </c>
      <c r="D9" s="25">
        <f t="shared" si="0"/>
        <v>3.7125885112141564E-2</v>
      </c>
    </row>
    <row r="10" spans="2:4" ht="15" customHeight="1" x14ac:dyDescent="0.5">
      <c r="B10" s="20" t="s">
        <v>247</v>
      </c>
      <c r="C10" s="21">
        <f>C6-C7-C8-C9</f>
        <v>10663.719999999998</v>
      </c>
      <c r="D10" s="25">
        <f t="shared" si="0"/>
        <v>0.16754766097229526</v>
      </c>
    </row>
    <row r="11" spans="2:4" ht="15" customHeight="1" x14ac:dyDescent="0.5">
      <c r="B11" s="12" t="s">
        <v>248</v>
      </c>
      <c r="C11" s="19">
        <v>1312.07</v>
      </c>
      <c r="D11" s="25">
        <f t="shared" si="0"/>
        <v>2.0615156768174662E-2</v>
      </c>
    </row>
    <row r="12" spans="2:4" ht="15" customHeight="1" x14ac:dyDescent="0.5">
      <c r="B12" s="12" t="s">
        <v>249</v>
      </c>
      <c r="C12" s="19">
        <v>325.8</v>
      </c>
      <c r="D12" s="25">
        <f t="shared" si="0"/>
        <v>5.1189479792017991E-3</v>
      </c>
    </row>
    <row r="13" spans="2:4" ht="15" customHeight="1" x14ac:dyDescent="0.5">
      <c r="B13" s="20" t="s">
        <v>250</v>
      </c>
      <c r="C13" s="21">
        <f>C10+C11-C12</f>
        <v>11649.989999999998</v>
      </c>
      <c r="D13" s="25">
        <f t="shared" si="0"/>
        <v>0.18304386976126813</v>
      </c>
    </row>
    <row r="14" spans="2:4" ht="15" customHeight="1" x14ac:dyDescent="0.5">
      <c r="B14" s="12" t="s">
        <v>251</v>
      </c>
      <c r="C14" s="19">
        <v>2236.4</v>
      </c>
      <c r="D14" s="25">
        <f t="shared" si="0"/>
        <v>3.5138168387620947E-2</v>
      </c>
    </row>
    <row r="15" spans="2:4" ht="16.5" customHeight="1" x14ac:dyDescent="0.55000000000000004">
      <c r="B15" s="5" t="s">
        <v>252</v>
      </c>
      <c r="C15" s="22">
        <f>C13-C14</f>
        <v>9413.5899999999983</v>
      </c>
      <c r="D15" s="26">
        <f t="shared" si="0"/>
        <v>0.1479057013736472</v>
      </c>
    </row>
    <row r="17" spans="2:4" ht="15" customHeight="1" x14ac:dyDescent="0.5">
      <c r="B17" s="18" t="s">
        <v>253</v>
      </c>
    </row>
    <row r="18" spans="2:4" ht="15" customHeight="1" x14ac:dyDescent="0.5">
      <c r="B18" s="12" t="s">
        <v>254</v>
      </c>
      <c r="C18" s="19">
        <v>11264.48</v>
      </c>
      <c r="D18" s="25">
        <f>IFERROR(C18/$C$6,"")</f>
        <v>0.17698676222455212</v>
      </c>
    </row>
    <row r="19" spans="2:4" ht="15" customHeight="1" x14ac:dyDescent="0.5">
      <c r="B19" s="20" t="s">
        <v>255</v>
      </c>
      <c r="C19" s="21">
        <f>C15-C18</f>
        <v>-1850.8900000000012</v>
      </c>
      <c r="D19" s="25">
        <f>IFERROR(C19/$C$6,"")</f>
        <v>-2.9081060850904925E-2</v>
      </c>
    </row>
  </sheetData>
  <pageMargins left="0.75" right="0.75" top="1" bottom="1" header="0.5" footer="0.5"/>
  <headerFooter>
    <oddHeader>&amp;C&amp;G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23" activePane="bottomRight" state="frozen"/>
      <selection pane="topRight"/>
      <selection pane="bottomLeft"/>
      <selection pane="bottomRight" activeCell="B4" sqref="B4"/>
    </sheetView>
  </sheetViews>
  <sheetFormatPr defaultRowHeight="14.6" x14ac:dyDescent="0.4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.05" customHeight="1" x14ac:dyDescent="0.75">
      <c r="B2" s="14" t="s">
        <v>256</v>
      </c>
    </row>
    <row r="3" spans="2:4" x14ac:dyDescent="0.4">
      <c r="B3" s="15" t="s">
        <v>312</v>
      </c>
    </row>
    <row r="5" spans="2:4" ht="16.5" customHeight="1" x14ac:dyDescent="0.55000000000000004">
      <c r="B5" s="23" t="s">
        <v>240</v>
      </c>
      <c r="C5" s="23" t="s">
        <v>241</v>
      </c>
      <c r="D5" s="23" t="s">
        <v>257</v>
      </c>
    </row>
    <row r="6" spans="2:4" ht="15" customHeight="1" x14ac:dyDescent="0.5">
      <c r="B6" s="18" t="s">
        <v>258</v>
      </c>
      <c r="D6" s="15"/>
    </row>
    <row r="7" spans="2:4" ht="15" customHeight="1" x14ac:dyDescent="0.5">
      <c r="B7" s="12" t="s">
        <v>259</v>
      </c>
      <c r="C7" s="27">
        <f>INC_net</f>
        <v>9413.5899999999983</v>
      </c>
      <c r="D7" s="15" t="s">
        <v>260</v>
      </c>
    </row>
    <row r="8" spans="2:4" ht="15" customHeight="1" x14ac:dyDescent="0.5">
      <c r="B8" s="12" t="s">
        <v>261</v>
      </c>
      <c r="C8" s="27">
        <f>INC_depreciation</f>
        <v>2362.91</v>
      </c>
      <c r="D8" s="15" t="s">
        <v>260</v>
      </c>
    </row>
    <row r="9" spans="2:4" ht="15" customHeight="1" x14ac:dyDescent="0.5">
      <c r="B9" s="28" t="s">
        <v>262</v>
      </c>
      <c r="D9" s="15"/>
    </row>
    <row r="10" spans="2:4" ht="15" customHeight="1" x14ac:dyDescent="0.5">
      <c r="B10" s="12" t="s">
        <v>263</v>
      </c>
      <c r="C10" s="19"/>
      <c r="D10" s="15" t="s">
        <v>264</v>
      </c>
    </row>
    <row r="11" spans="2:4" ht="15" customHeight="1" x14ac:dyDescent="0.5">
      <c r="B11" s="12" t="s">
        <v>265</v>
      </c>
      <c r="C11" s="19"/>
      <c r="D11" s="15" t="s">
        <v>264</v>
      </c>
    </row>
    <row r="12" spans="2:4" ht="15" customHeight="1" x14ac:dyDescent="0.5">
      <c r="B12" s="12" t="s">
        <v>266</v>
      </c>
      <c r="C12" s="19"/>
      <c r="D12" s="15" t="s">
        <v>264</v>
      </c>
    </row>
    <row r="13" spans="2:4" ht="15" customHeight="1" x14ac:dyDescent="0.5">
      <c r="B13" s="12" t="s">
        <v>267</v>
      </c>
      <c r="C13" s="19"/>
      <c r="D13" s="15" t="s">
        <v>264</v>
      </c>
    </row>
    <row r="14" spans="2:4" ht="15" customHeight="1" x14ac:dyDescent="0.5">
      <c r="B14" s="12" t="s">
        <v>268</v>
      </c>
      <c r="C14" s="19"/>
      <c r="D14" s="15" t="s">
        <v>264</v>
      </c>
    </row>
    <row r="15" spans="2:4" ht="15" customHeight="1" x14ac:dyDescent="0.5">
      <c r="B15" s="20" t="s">
        <v>269</v>
      </c>
      <c r="C15" s="21">
        <f>SUM(C10:C14)</f>
        <v>0</v>
      </c>
      <c r="D15" s="15"/>
    </row>
    <row r="16" spans="2:4" ht="16.5" customHeight="1" x14ac:dyDescent="0.55000000000000004">
      <c r="B16" s="5" t="s">
        <v>270</v>
      </c>
      <c r="C16" s="22">
        <f>C7+C8+C15</f>
        <v>11776.499999999998</v>
      </c>
      <c r="D16" s="15"/>
    </row>
    <row r="17" spans="2:4" x14ac:dyDescent="0.4">
      <c r="D17" s="15"/>
    </row>
    <row r="18" spans="2:4" ht="15" customHeight="1" x14ac:dyDescent="0.5">
      <c r="B18" s="18" t="s">
        <v>271</v>
      </c>
      <c r="D18" s="15"/>
    </row>
    <row r="19" spans="2:4" ht="15" customHeight="1" x14ac:dyDescent="0.5">
      <c r="B19" s="12" t="s">
        <v>272</v>
      </c>
      <c r="C19" s="19"/>
      <c r="D19" s="15"/>
    </row>
    <row r="20" spans="2:4" ht="15" customHeight="1" x14ac:dyDescent="0.5">
      <c r="B20" s="12" t="s">
        <v>273</v>
      </c>
      <c r="C20" s="19"/>
      <c r="D20" s="15"/>
    </row>
    <row r="21" spans="2:4" ht="15" customHeight="1" x14ac:dyDescent="0.5">
      <c r="B21" s="12" t="s">
        <v>274</v>
      </c>
      <c r="C21" s="19"/>
      <c r="D21" s="15"/>
    </row>
    <row r="22" spans="2:4" ht="16.5" customHeight="1" x14ac:dyDescent="0.55000000000000004">
      <c r="B22" s="5" t="s">
        <v>275</v>
      </c>
      <c r="C22" s="22">
        <f>SUM(C19:C21)</f>
        <v>0</v>
      </c>
      <c r="D22" s="15"/>
    </row>
    <row r="23" spans="2:4" x14ac:dyDescent="0.4">
      <c r="D23" s="15"/>
    </row>
    <row r="24" spans="2:4" ht="15" customHeight="1" x14ac:dyDescent="0.5">
      <c r="B24" s="18" t="s">
        <v>276</v>
      </c>
      <c r="D24" s="15"/>
    </row>
    <row r="25" spans="2:4" ht="15" customHeight="1" x14ac:dyDescent="0.5">
      <c r="B25" s="12" t="s">
        <v>277</v>
      </c>
      <c r="C25" s="19">
        <v>278.3</v>
      </c>
      <c r="D25" s="15"/>
    </row>
    <row r="26" spans="2:4" ht="15" customHeight="1" x14ac:dyDescent="0.5">
      <c r="B26" s="12" t="s">
        <v>278</v>
      </c>
      <c r="C26" s="19">
        <v>-94.99</v>
      </c>
      <c r="D26" s="15"/>
    </row>
    <row r="27" spans="2:4" ht="15" customHeight="1" x14ac:dyDescent="0.5">
      <c r="B27" s="12" t="s">
        <v>279</v>
      </c>
      <c r="C27" s="19">
        <v>-11264.48</v>
      </c>
      <c r="D27" s="15"/>
    </row>
    <row r="28" spans="2:4" ht="15" customHeight="1" x14ac:dyDescent="0.5">
      <c r="B28" s="12" t="s">
        <v>280</v>
      </c>
      <c r="C28" s="19">
        <v>7.2</v>
      </c>
      <c r="D28" s="15"/>
    </row>
    <row r="29" spans="2:4" ht="15" customHeight="1" x14ac:dyDescent="0.5">
      <c r="B29" s="12" t="s">
        <v>281</v>
      </c>
      <c r="C29" s="19">
        <v>0</v>
      </c>
      <c r="D29" s="15"/>
    </row>
    <row r="30" spans="2:4" ht="16.5" customHeight="1" x14ac:dyDescent="0.55000000000000004">
      <c r="B30" s="5" t="s">
        <v>282</v>
      </c>
      <c r="C30" s="22">
        <f>SUM(C25:C29)</f>
        <v>-11073.97</v>
      </c>
      <c r="D30" s="15"/>
    </row>
    <row r="31" spans="2:4" x14ac:dyDescent="0.4">
      <c r="D31" s="15"/>
    </row>
    <row r="32" spans="2:4" ht="16.5" customHeight="1" x14ac:dyDescent="0.55000000000000004">
      <c r="B32" s="5" t="s">
        <v>283</v>
      </c>
      <c r="C32" s="22">
        <f>C16+C22+C30</f>
        <v>702.52999999999884</v>
      </c>
      <c r="D32" s="15"/>
    </row>
  </sheetData>
  <pageMargins left="0.75" right="0.75" top="1" bottom="1" header="0.5" footer="0.5"/>
  <headerFooter>
    <oddHeader>&amp;C&amp;G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44" sqref="C44"/>
    </sheetView>
  </sheetViews>
  <sheetFormatPr defaultRowHeight="14.6" x14ac:dyDescent="0.4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.05" customHeight="1" x14ac:dyDescent="0.75">
      <c r="B2" s="14" t="s">
        <v>0</v>
      </c>
    </row>
    <row r="3" spans="2:5" x14ac:dyDescent="0.4">
      <c r="B3" s="15" t="s">
        <v>1</v>
      </c>
    </row>
    <row r="5" spans="2:5" ht="16.5" customHeight="1" x14ac:dyDescent="0.55000000000000004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5">
      <c r="B6" s="12" t="s">
        <v>6</v>
      </c>
      <c r="C6" s="29">
        <v>2025</v>
      </c>
      <c r="D6" s="30"/>
      <c r="E6" s="30" t="s">
        <v>7</v>
      </c>
    </row>
    <row r="7" spans="2:5" ht="15" customHeight="1" x14ac:dyDescent="0.5">
      <c r="B7" s="12" t="s">
        <v>8</v>
      </c>
      <c r="C7" s="31">
        <f>yearCurrent-1</f>
        <v>2024</v>
      </c>
      <c r="D7" s="30" t="s">
        <v>9</v>
      </c>
      <c r="E7" s="30" t="s">
        <v>10</v>
      </c>
    </row>
    <row r="8" spans="2:5" ht="15" customHeight="1" x14ac:dyDescent="0.5">
      <c r="B8" s="12" t="s">
        <v>11</v>
      </c>
      <c r="C8" s="44">
        <v>65100</v>
      </c>
      <c r="D8" s="30"/>
      <c r="E8" s="30" t="s">
        <v>12</v>
      </c>
    </row>
    <row r="9" spans="2:5" ht="15" customHeight="1" x14ac:dyDescent="0.5">
      <c r="B9" s="12" t="s">
        <v>13</v>
      </c>
      <c r="C9" s="32">
        <v>2090</v>
      </c>
      <c r="D9" s="30"/>
      <c r="E9" s="30" t="s">
        <v>14</v>
      </c>
    </row>
    <row r="10" spans="2:5" ht="15" customHeight="1" x14ac:dyDescent="0.5">
      <c r="B10" s="12" t="s">
        <v>15</v>
      </c>
      <c r="C10" s="33">
        <v>0.09</v>
      </c>
      <c r="D10" s="30"/>
      <c r="E10" s="30" t="s">
        <v>16</v>
      </c>
    </row>
    <row r="11" spans="2:5" ht="15" customHeight="1" x14ac:dyDescent="0.5">
      <c r="B11" s="12" t="s">
        <v>17</v>
      </c>
      <c r="C11" s="33">
        <v>0.2</v>
      </c>
      <c r="D11" s="30"/>
      <c r="E11" s="30" t="s">
        <v>18</v>
      </c>
    </row>
    <row r="12" spans="2:5" ht="15" customHeight="1" x14ac:dyDescent="0.5">
      <c r="B12" s="12" t="s">
        <v>19</v>
      </c>
      <c r="C12" s="34">
        <f>share_price*shares_outstanding</f>
        <v>136059000</v>
      </c>
      <c r="D12" s="30" t="s">
        <v>20</v>
      </c>
      <c r="E12" s="30" t="s">
        <v>21</v>
      </c>
    </row>
    <row r="14" spans="2:5" ht="16.5" customHeight="1" x14ac:dyDescent="0.55000000000000004">
      <c r="B14" s="45" t="s">
        <v>22</v>
      </c>
      <c r="C14" s="46"/>
      <c r="D14" s="46"/>
      <c r="E14" s="46"/>
    </row>
    <row r="15" spans="2:5" ht="15" customHeight="1" x14ac:dyDescent="0.5">
      <c r="B15" s="12" t="s">
        <v>23</v>
      </c>
      <c r="C15" s="35">
        <f>BAL_equity_shareholders_prior</f>
        <v>36174.404999999999</v>
      </c>
      <c r="D15" s="30" t="s">
        <v>24</v>
      </c>
      <c r="E15" s="30" t="s">
        <v>25</v>
      </c>
    </row>
    <row r="16" spans="2:5" ht="15" customHeight="1" x14ac:dyDescent="0.5">
      <c r="B16" s="12" t="s">
        <v>26</v>
      </c>
      <c r="C16" s="35">
        <f>BAL_inventories_prior</f>
        <v>5686.84</v>
      </c>
      <c r="D16" s="30" t="s">
        <v>27</v>
      </c>
      <c r="E16" s="30" t="s">
        <v>28</v>
      </c>
    </row>
    <row r="17" spans="2:5" ht="15" customHeight="1" x14ac:dyDescent="0.5">
      <c r="B17" s="12" t="s">
        <v>29</v>
      </c>
      <c r="C17" s="35">
        <f>BAL_receivables_prior</f>
        <v>6233.76</v>
      </c>
      <c r="D17" s="30" t="s">
        <v>30</v>
      </c>
      <c r="E17" s="30" t="s">
        <v>31</v>
      </c>
    </row>
    <row r="18" spans="2:5" ht="15" customHeight="1" x14ac:dyDescent="0.5">
      <c r="B18" s="12" t="s">
        <v>32</v>
      </c>
      <c r="C18" s="35">
        <f>BAL_assets_total_prior</f>
        <v>55049.062000000005</v>
      </c>
      <c r="D18" s="30" t="s">
        <v>33</v>
      </c>
      <c r="E18" s="30" t="s">
        <v>34</v>
      </c>
    </row>
    <row r="19" spans="2:5" ht="15" customHeight="1" x14ac:dyDescent="0.5">
      <c r="B19" s="12" t="s">
        <v>35</v>
      </c>
      <c r="C19" s="35">
        <f>BAL_debt_long_term_prior+BAL_equity_shareholders_prior</f>
        <v>36332.309000000001</v>
      </c>
      <c r="D19" s="30" t="s">
        <v>36</v>
      </c>
      <c r="E19" s="30" t="s">
        <v>37</v>
      </c>
    </row>
    <row r="21" spans="2:5" ht="16.5" customHeight="1" x14ac:dyDescent="0.55000000000000004">
      <c r="B21" s="45" t="s">
        <v>38</v>
      </c>
      <c r="C21" s="46"/>
      <c r="D21" s="46"/>
      <c r="E21" s="46"/>
    </row>
    <row r="22" spans="2:5" ht="15" customHeight="1" x14ac:dyDescent="0.5">
      <c r="B22" s="12" t="s">
        <v>39</v>
      </c>
      <c r="C22" s="35">
        <f>INC_net+(1-tax_rate)*INC_interest_expense</f>
        <v>9674.2299999999977</v>
      </c>
      <c r="D22" s="30" t="s">
        <v>40</v>
      </c>
      <c r="E22" s="30" t="s">
        <v>41</v>
      </c>
    </row>
    <row r="23" spans="2:5" ht="15" customHeight="1" x14ac:dyDescent="0.5">
      <c r="B23" s="12" t="s">
        <v>42</v>
      </c>
      <c r="C23" s="36">
        <f>IFERROR(INC_sales/365,"")</f>
        <v>174.37230136986301</v>
      </c>
      <c r="D23" s="30" t="s">
        <v>43</v>
      </c>
      <c r="E23" s="30" t="s">
        <v>44</v>
      </c>
    </row>
    <row r="24" spans="2:5" ht="15" customHeight="1" x14ac:dyDescent="0.5">
      <c r="B24" s="12" t="s">
        <v>45</v>
      </c>
      <c r="C24" s="35">
        <f>BAL_equity_shareholders_curr</f>
        <v>34483.025000000001</v>
      </c>
      <c r="D24" s="30" t="s">
        <v>46</v>
      </c>
      <c r="E24" s="30" t="s">
        <v>47</v>
      </c>
    </row>
    <row r="25" spans="2:5" ht="15" customHeight="1" x14ac:dyDescent="0.5">
      <c r="B25" s="12" t="s">
        <v>48</v>
      </c>
      <c r="C25" s="35">
        <f>BAL_cash_marketable_securities_curr</f>
        <v>23149.74</v>
      </c>
      <c r="D25" s="30" t="s">
        <v>49</v>
      </c>
      <c r="E25" s="30" t="s">
        <v>50</v>
      </c>
    </row>
    <row r="26" spans="2:5" ht="15" customHeight="1" x14ac:dyDescent="0.5">
      <c r="B26" s="12" t="s">
        <v>51</v>
      </c>
      <c r="C26" s="35">
        <f>BAL_assets_current_curr</f>
        <v>36261.170000000006</v>
      </c>
      <c r="D26" s="30" t="s">
        <v>52</v>
      </c>
      <c r="E26" s="30" t="s">
        <v>53</v>
      </c>
    </row>
    <row r="27" spans="2:5" ht="15" customHeight="1" x14ac:dyDescent="0.5">
      <c r="B27" s="12" t="s">
        <v>54</v>
      </c>
      <c r="C27" s="35">
        <f>BAL_liabilities_current_curr</f>
        <v>18520.286</v>
      </c>
      <c r="D27" s="30" t="s">
        <v>55</v>
      </c>
      <c r="E27" s="30" t="s">
        <v>56</v>
      </c>
    </row>
    <row r="28" spans="2:5" ht="15" customHeight="1" x14ac:dyDescent="0.5">
      <c r="B28" s="12" t="s">
        <v>57</v>
      </c>
      <c r="C28" s="36">
        <f>IFERROR(INC_cost_goods_sold/365,"")</f>
        <v>97.226246575342472</v>
      </c>
      <c r="D28" s="30" t="s">
        <v>58</v>
      </c>
      <c r="E28" s="30" t="s">
        <v>59</v>
      </c>
    </row>
    <row r="29" spans="2:5" ht="15" customHeight="1" x14ac:dyDescent="0.5">
      <c r="B29" s="12" t="s">
        <v>60</v>
      </c>
      <c r="C29" s="35">
        <f>BAL_debt_long_term_curr</f>
        <v>62.908000000000001</v>
      </c>
      <c r="D29" s="30" t="s">
        <v>61</v>
      </c>
      <c r="E29" s="30" t="s">
        <v>62</v>
      </c>
    </row>
    <row r="30" spans="2:5" ht="15" customHeight="1" x14ac:dyDescent="0.5">
      <c r="B30" s="12" t="s">
        <v>63</v>
      </c>
      <c r="C30" s="35">
        <f>BAL_assets_current_curr-BAL_liabilities_current_curr</f>
        <v>17740.884000000005</v>
      </c>
      <c r="D30" s="30" t="s">
        <v>64</v>
      </c>
      <c r="E30" s="30" t="s">
        <v>65</v>
      </c>
    </row>
    <row r="31" spans="2:5" ht="15" customHeight="1" x14ac:dyDescent="0.5">
      <c r="B31" s="12" t="s">
        <v>66</v>
      </c>
      <c r="C31" s="35">
        <f>BAL_assets_total_curr</f>
        <v>53312.359000000004</v>
      </c>
      <c r="D31" s="30" t="s">
        <v>67</v>
      </c>
      <c r="E31" s="30" t="s">
        <v>68</v>
      </c>
    </row>
    <row r="32" spans="2:5" ht="15" customHeight="1" x14ac:dyDescent="0.5">
      <c r="B32" s="12" t="s">
        <v>69</v>
      </c>
      <c r="C32" s="35">
        <f>BAL_debt_long_term_curr+BAL_equity_shareholders_curr</f>
        <v>34545.933000000005</v>
      </c>
      <c r="D32" s="30" t="s">
        <v>70</v>
      </c>
      <c r="E32" s="30" t="s">
        <v>71</v>
      </c>
    </row>
    <row r="33" spans="2:6" ht="15" customHeight="1" x14ac:dyDescent="0.5">
      <c r="B33" s="12" t="s">
        <v>72</v>
      </c>
      <c r="C33" s="35">
        <f>BAL_liabilities_total_curr</f>
        <v>18829.355</v>
      </c>
      <c r="D33" s="30" t="s">
        <v>73</v>
      </c>
      <c r="E33" s="30" t="s">
        <v>74</v>
      </c>
    </row>
    <row r="35" spans="2:6" ht="16.5" customHeight="1" x14ac:dyDescent="0.55000000000000004">
      <c r="B35" s="45" t="s">
        <v>75</v>
      </c>
      <c r="C35" s="46"/>
      <c r="D35" s="46"/>
      <c r="E35" s="46"/>
    </row>
    <row r="36" spans="2:6" ht="15" customHeight="1" x14ac:dyDescent="0.5">
      <c r="B36" s="12" t="s">
        <v>76</v>
      </c>
      <c r="C36" s="36">
        <f>AVERAGE(startYear_equity,currentYear_equity)</f>
        <v>35328.714999999997</v>
      </c>
      <c r="D36" s="30" t="s">
        <v>77</v>
      </c>
      <c r="E36" s="30" t="s">
        <v>78</v>
      </c>
    </row>
    <row r="37" spans="2:6" ht="15" customHeight="1" x14ac:dyDescent="0.5">
      <c r="B37" s="12" t="s">
        <v>79</v>
      </c>
      <c r="C37" s="36">
        <f>AVERAGE(startYear_total_assets,currentYear_assets_total)</f>
        <v>54180.710500000001</v>
      </c>
      <c r="D37" s="30" t="s">
        <v>80</v>
      </c>
      <c r="E37" s="30" t="s">
        <v>81</v>
      </c>
    </row>
    <row r="38" spans="2:6" ht="15" customHeight="1" x14ac:dyDescent="0.5">
      <c r="B38" s="12" t="s">
        <v>82</v>
      </c>
      <c r="C38" s="36">
        <f>AVERAGE(startYear_total_capitalization,currentYear_total_capitalization)</f>
        <v>35439.120999999999</v>
      </c>
      <c r="D38" s="30" t="s">
        <v>83</v>
      </c>
      <c r="E38" s="30" t="s">
        <v>84</v>
      </c>
    </row>
    <row r="41" spans="2:6" ht="16.5" customHeight="1" x14ac:dyDescent="0.55000000000000004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 x14ac:dyDescent="0.55000000000000004">
      <c r="B42" s="5" t="s">
        <v>89</v>
      </c>
      <c r="C42" s="1"/>
      <c r="D42" s="1"/>
      <c r="E42" s="1"/>
    </row>
    <row r="43" spans="2:6" ht="15" customHeight="1" x14ac:dyDescent="0.5">
      <c r="B43" s="12" t="s">
        <v>90</v>
      </c>
      <c r="C43" s="37"/>
      <c r="D43" s="30" t="s">
        <v>91</v>
      </c>
      <c r="E43" s="30"/>
    </row>
    <row r="44" spans="2:6" ht="15" customHeight="1" x14ac:dyDescent="0.5">
      <c r="B44" s="12" t="s">
        <v>92</v>
      </c>
      <c r="C44" s="38"/>
      <c r="D44" s="30" t="s">
        <v>93</v>
      </c>
      <c r="E44" s="30"/>
    </row>
    <row r="45" spans="2:6" ht="15" customHeight="1" x14ac:dyDescent="0.5">
      <c r="B45" s="12" t="s">
        <v>94</v>
      </c>
      <c r="C45" s="37"/>
      <c r="D45" s="30" t="s">
        <v>95</v>
      </c>
      <c r="E45" s="30"/>
    </row>
    <row r="46" spans="2:6" ht="16.5" customHeight="1" x14ac:dyDescent="0.55000000000000004">
      <c r="B46" s="5" t="s">
        <v>96</v>
      </c>
      <c r="C46" s="1"/>
      <c r="D46" s="1"/>
      <c r="E46" s="1"/>
    </row>
    <row r="47" spans="2:6" ht="15" customHeight="1" x14ac:dyDescent="0.5">
      <c r="B47" s="12" t="s">
        <v>97</v>
      </c>
      <c r="C47" s="39"/>
      <c r="D47" s="30" t="s">
        <v>98</v>
      </c>
      <c r="E47" s="30"/>
    </row>
    <row r="48" spans="2:6" ht="15" customHeight="1" x14ac:dyDescent="0.5">
      <c r="B48" s="12" t="s">
        <v>99</v>
      </c>
      <c r="C48" s="39"/>
      <c r="D48" s="30" t="s">
        <v>100</v>
      </c>
      <c r="E48" s="30"/>
    </row>
    <row r="49" spans="2:5" ht="15" customHeight="1" x14ac:dyDescent="0.5">
      <c r="B49" s="12" t="s">
        <v>101</v>
      </c>
      <c r="C49" s="39"/>
      <c r="D49" s="30" t="s">
        <v>102</v>
      </c>
      <c r="E49" s="30"/>
    </row>
    <row r="50" spans="2:5" ht="15" customHeight="1" x14ac:dyDescent="0.5">
      <c r="B50" s="12" t="s">
        <v>103</v>
      </c>
      <c r="C50" s="39"/>
      <c r="D50" s="30" t="s">
        <v>104</v>
      </c>
      <c r="E50" s="30"/>
    </row>
    <row r="51" spans="2:5" ht="15" customHeight="1" x14ac:dyDescent="0.5">
      <c r="B51" s="12" t="s">
        <v>105</v>
      </c>
      <c r="C51" s="39"/>
      <c r="D51" s="30" t="s">
        <v>106</v>
      </c>
      <c r="E51" s="30"/>
    </row>
    <row r="52" spans="2:5" ht="15" customHeight="1" x14ac:dyDescent="0.5">
      <c r="B52" s="12" t="s">
        <v>107</v>
      </c>
      <c r="C52" s="39"/>
      <c r="D52" s="30" t="s">
        <v>108</v>
      </c>
      <c r="E52" s="30"/>
    </row>
    <row r="53" spans="2:5" ht="16.5" customHeight="1" x14ac:dyDescent="0.55000000000000004">
      <c r="B53" s="5" t="s">
        <v>109</v>
      </c>
      <c r="C53" s="1"/>
      <c r="D53" s="1"/>
      <c r="E53" s="1"/>
    </row>
    <row r="54" spans="2:5" ht="15" customHeight="1" x14ac:dyDescent="0.5">
      <c r="B54" s="12" t="s">
        <v>110</v>
      </c>
      <c r="C54" s="38"/>
      <c r="D54" s="30" t="s">
        <v>111</v>
      </c>
      <c r="E54" s="30" t="s">
        <v>112</v>
      </c>
    </row>
    <row r="55" spans="2:5" ht="15" customHeight="1" x14ac:dyDescent="0.5">
      <c r="B55" s="12" t="s">
        <v>113</v>
      </c>
      <c r="C55" s="38"/>
      <c r="D55" s="30" t="s">
        <v>114</v>
      </c>
      <c r="E55" s="30"/>
    </row>
    <row r="56" spans="2:5" ht="15" customHeight="1" x14ac:dyDescent="0.5">
      <c r="B56" s="12" t="s">
        <v>115</v>
      </c>
      <c r="C56" s="40"/>
      <c r="D56" s="30" t="s">
        <v>116</v>
      </c>
      <c r="E56" s="30"/>
    </row>
    <row r="57" spans="2:5" ht="15" customHeight="1" x14ac:dyDescent="0.5">
      <c r="B57" s="12" t="s">
        <v>117</v>
      </c>
      <c r="C57" s="38"/>
      <c r="D57" s="30" t="s">
        <v>118</v>
      </c>
      <c r="E57" s="30"/>
    </row>
    <row r="58" spans="2:5" ht="15" customHeight="1" x14ac:dyDescent="0.5">
      <c r="B58" s="12" t="s">
        <v>119</v>
      </c>
      <c r="C58" s="40"/>
      <c r="D58" s="30" t="s">
        <v>120</v>
      </c>
      <c r="E58" s="30"/>
    </row>
    <row r="59" spans="2:5" ht="15" customHeight="1" x14ac:dyDescent="0.5">
      <c r="B59" s="12" t="s">
        <v>121</v>
      </c>
      <c r="C59" s="39"/>
      <c r="D59" s="30" t="s">
        <v>122</v>
      </c>
      <c r="E59" s="30"/>
    </row>
    <row r="60" spans="2:5" ht="15" customHeight="1" x14ac:dyDescent="0.5">
      <c r="B60" s="12" t="s">
        <v>123</v>
      </c>
      <c r="C60" s="39"/>
      <c r="D60" s="30" t="s">
        <v>124</v>
      </c>
      <c r="E60" s="30" t="s">
        <v>125</v>
      </c>
    </row>
    <row r="61" spans="2:5" ht="16.5" customHeight="1" x14ac:dyDescent="0.55000000000000004">
      <c r="B61" s="5" t="s">
        <v>126</v>
      </c>
      <c r="C61" s="1"/>
      <c r="D61" s="1"/>
      <c r="E61" s="1"/>
    </row>
    <row r="62" spans="2:5" ht="15" customHeight="1" x14ac:dyDescent="0.5">
      <c r="B62" s="12" t="s">
        <v>127</v>
      </c>
      <c r="C62" s="39"/>
      <c r="D62" s="30" t="s">
        <v>128</v>
      </c>
      <c r="E62" s="30"/>
    </row>
    <row r="63" spans="2:5" ht="15" customHeight="1" x14ac:dyDescent="0.5">
      <c r="B63" s="12" t="s">
        <v>129</v>
      </c>
      <c r="C63" s="38"/>
      <c r="D63" s="30" t="s">
        <v>130</v>
      </c>
      <c r="E63" s="30"/>
    </row>
    <row r="64" spans="2:5" ht="15" customHeight="1" x14ac:dyDescent="0.5">
      <c r="B64" s="12" t="s">
        <v>131</v>
      </c>
      <c r="C64" s="39"/>
      <c r="D64" s="30" t="s">
        <v>132</v>
      </c>
      <c r="E64" s="30"/>
    </row>
    <row r="65" spans="2:6" ht="15" customHeight="1" x14ac:dyDescent="0.5">
      <c r="B65" s="12" t="s">
        <v>133</v>
      </c>
      <c r="C65" s="38"/>
      <c r="D65" s="30" t="s">
        <v>134</v>
      </c>
      <c r="E65" s="30"/>
    </row>
    <row r="66" spans="2:6" ht="15" customHeight="1" x14ac:dyDescent="0.5">
      <c r="B66" s="12" t="s">
        <v>135</v>
      </c>
      <c r="C66" s="38"/>
      <c r="D66" s="30" t="s">
        <v>136</v>
      </c>
      <c r="E66" s="30"/>
    </row>
    <row r="67" spans="2:6" ht="15" customHeight="1" x14ac:dyDescent="0.5">
      <c r="B67" s="12" t="s">
        <v>137</v>
      </c>
      <c r="C67" s="41"/>
      <c r="D67" s="30" t="s">
        <v>138</v>
      </c>
      <c r="E67" s="30" t="s">
        <v>139</v>
      </c>
    </row>
    <row r="68" spans="2:6" ht="15" customHeight="1" x14ac:dyDescent="0.5">
      <c r="B68" s="12" t="s">
        <v>140</v>
      </c>
      <c r="C68" s="38"/>
      <c r="D68" s="30" t="s">
        <v>141</v>
      </c>
      <c r="E68" s="30" t="s">
        <v>142</v>
      </c>
    </row>
    <row r="69" spans="2:6" ht="16.5" customHeight="1" x14ac:dyDescent="0.55000000000000004">
      <c r="B69" s="5" t="s">
        <v>143</v>
      </c>
      <c r="C69" s="1"/>
      <c r="D69" s="1"/>
      <c r="E69" s="1"/>
    </row>
    <row r="70" spans="2:6" ht="15" customHeight="1" x14ac:dyDescent="0.5">
      <c r="B70" s="12" t="s">
        <v>144</v>
      </c>
      <c r="C70" s="39"/>
      <c r="D70" s="30" t="s">
        <v>145</v>
      </c>
      <c r="E70" s="30"/>
    </row>
    <row r="71" spans="2:6" ht="15" customHeight="1" x14ac:dyDescent="0.5">
      <c r="B71" s="12" t="s">
        <v>146</v>
      </c>
      <c r="C71" s="38"/>
      <c r="D71" s="30" t="s">
        <v>147</v>
      </c>
      <c r="E71" s="30"/>
    </row>
    <row r="72" spans="2:6" ht="15" customHeight="1" x14ac:dyDescent="0.5">
      <c r="B72" s="12" t="s">
        <v>148</v>
      </c>
      <c r="C72" s="38"/>
      <c r="D72" s="30" t="s">
        <v>149</v>
      </c>
      <c r="E72" s="30"/>
    </row>
    <row r="73" spans="2:6" ht="15" customHeight="1" x14ac:dyDescent="0.5">
      <c r="B73" s="12" t="s">
        <v>150</v>
      </c>
      <c r="C73" s="38"/>
      <c r="D73" s="30" t="s">
        <v>151</v>
      </c>
      <c r="E73" s="30"/>
    </row>
    <row r="74" spans="2:6" ht="16.5" customHeight="1" x14ac:dyDescent="0.55000000000000004">
      <c r="B74" s="5" t="s">
        <v>152</v>
      </c>
      <c r="C74" s="1"/>
      <c r="D74" s="1"/>
      <c r="E74" s="1"/>
    </row>
    <row r="75" spans="2:6" ht="15" customHeight="1" x14ac:dyDescent="0.5">
      <c r="B75" s="12" t="s">
        <v>153</v>
      </c>
      <c r="C75" s="39"/>
      <c r="D75" s="30" t="s">
        <v>154</v>
      </c>
      <c r="E75" s="30"/>
      <c r="F75" s="43" t="str">
        <f>IF(OR(C75="",C47=""),"",IF(ROUND(C75,6)=ROUND(C47,6),"✓ matches direct ROA","✗ differs by "&amp;TEXT(ABS(C75-C47),"0.00%")))</f>
        <v/>
      </c>
    </row>
    <row r="76" spans="2:6" ht="15" customHeight="1" x14ac:dyDescent="0.5">
      <c r="B76" s="12" t="s">
        <v>155</v>
      </c>
      <c r="C76" s="39"/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  <headerFooter>
    <oddHeader>&amp;C&amp;G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4"/>
  <sheetViews>
    <sheetView showGridLines="0" workbookViewId="0">
      <selection activeCell="B25" sqref="B25"/>
    </sheetView>
  </sheetViews>
  <sheetFormatPr defaultRowHeight="14.6" x14ac:dyDescent="0.4"/>
  <cols>
    <col min="1" max="1" width="3.921875" customWidth="1"/>
    <col min="2" max="2" width="28" customWidth="1"/>
    <col min="3" max="3" width="70" customWidth="1"/>
  </cols>
  <sheetData>
    <row r="2" spans="2:3" ht="23.05" customHeight="1" x14ac:dyDescent="0.75">
      <c r="B2" s="14" t="s">
        <v>284</v>
      </c>
    </row>
    <row r="4" spans="2:3" ht="15" x14ac:dyDescent="0.4">
      <c r="B4" s="42" t="s">
        <v>285</v>
      </c>
      <c r="C4" s="4" t="s">
        <v>314</v>
      </c>
    </row>
    <row r="5" spans="2:3" ht="15" x14ac:dyDescent="0.4">
      <c r="B5" s="42" t="s">
        <v>286</v>
      </c>
      <c r="C5" s="4" t="s">
        <v>315</v>
      </c>
    </row>
    <row r="6" spans="2:3" ht="15" x14ac:dyDescent="0.4">
      <c r="B6" s="42" t="s">
        <v>287</v>
      </c>
      <c r="C6" s="4" t="s">
        <v>316</v>
      </c>
    </row>
    <row r="7" spans="2:3" ht="15" x14ac:dyDescent="0.4">
      <c r="B7" s="42" t="s">
        <v>288</v>
      </c>
      <c r="C7" s="4" t="s">
        <v>317</v>
      </c>
    </row>
    <row r="8" spans="2:3" ht="15" x14ac:dyDescent="0.4">
      <c r="B8" s="42" t="s">
        <v>289</v>
      </c>
      <c r="C8" s="4" t="s">
        <v>318</v>
      </c>
    </row>
    <row r="9" spans="2:3" ht="15" x14ac:dyDescent="0.4">
      <c r="B9" s="42" t="s">
        <v>290</v>
      </c>
      <c r="C9" s="4" t="s">
        <v>313</v>
      </c>
    </row>
    <row r="10" spans="2:3" ht="15" x14ac:dyDescent="0.4">
      <c r="B10" s="42" t="s">
        <v>291</v>
      </c>
      <c r="C10" s="4" t="s">
        <v>311</v>
      </c>
    </row>
    <row r="11" spans="2:3" ht="15" x14ac:dyDescent="0.4">
      <c r="B11" s="42" t="s">
        <v>292</v>
      </c>
      <c r="C11" s="52" t="s">
        <v>319</v>
      </c>
    </row>
    <row r="12" spans="2:3" ht="15" x14ac:dyDescent="0.4">
      <c r="B12" s="42" t="s">
        <v>293</v>
      </c>
      <c r="C12" s="53" t="s">
        <v>320</v>
      </c>
    </row>
    <row r="13" spans="2:3" ht="15" x14ac:dyDescent="0.4">
      <c r="B13" s="42" t="s">
        <v>294</v>
      </c>
      <c r="C13" s="4" t="s">
        <v>321</v>
      </c>
    </row>
    <row r="14" spans="2:3" ht="15" x14ac:dyDescent="0.4">
      <c r="B14" s="42" t="s">
        <v>295</v>
      </c>
      <c r="C14" s="53" t="s">
        <v>322</v>
      </c>
    </row>
    <row r="16" spans="2:3" ht="15" x14ac:dyDescent="0.4">
      <c r="B16" s="42" t="s">
        <v>296</v>
      </c>
      <c r="C16" s="4" t="s">
        <v>297</v>
      </c>
    </row>
    <row r="17" spans="2:3" ht="29.05" customHeight="1" x14ac:dyDescent="0.4">
      <c r="B17" s="42" t="s">
        <v>298</v>
      </c>
      <c r="C17" s="4" t="s">
        <v>299</v>
      </c>
    </row>
    <row r="18" spans="2:3" ht="29.05" customHeight="1" x14ac:dyDescent="0.4">
      <c r="B18" s="42" t="s">
        <v>300</v>
      </c>
      <c r="C18" s="4" t="s">
        <v>301</v>
      </c>
    </row>
    <row r="19" spans="2:3" ht="29.05" customHeight="1" x14ac:dyDescent="0.4">
      <c r="B19" s="42" t="s">
        <v>302</v>
      </c>
      <c r="C19" s="4" t="s">
        <v>303</v>
      </c>
    </row>
    <row r="20" spans="2:3" ht="29.05" customHeight="1" x14ac:dyDescent="0.4">
      <c r="B20" s="42" t="s">
        <v>304</v>
      </c>
      <c r="C20" s="4" t="s">
        <v>305</v>
      </c>
    </row>
    <row r="22" spans="2:3" ht="15" x14ac:dyDescent="0.4">
      <c r="B22" s="42" t="s">
        <v>306</v>
      </c>
    </row>
    <row r="23" spans="2:3" ht="32.049999999999997" customHeight="1" x14ac:dyDescent="0.4">
      <c r="B23" s="42" t="s">
        <v>307</v>
      </c>
      <c r="C23" s="4" t="s">
        <v>308</v>
      </c>
    </row>
    <row r="24" spans="2:3" ht="45" customHeight="1" x14ac:dyDescent="0.4">
      <c r="B24" s="42" t="s">
        <v>309</v>
      </c>
      <c r="C24" s="4" t="s">
        <v>310</v>
      </c>
    </row>
  </sheetData>
  <pageMargins left="0.75" right="0.75" top="1" bottom="1" header="0.5" footer="0.5"/>
  <headerFooter>
    <oddHeader>&amp;C&amp;G</oddHeader>
  </headerFooter>
</worksheet>
</file>

<file path=docMetadata/LabelInfo.xml><?xml version="1.0" encoding="utf-8"?>
<clbl:labelList xmlns:clbl="http://schemas.microsoft.com/office/2020/mipLabelMetadata">
  <clbl:label id="{f5ab456e-4977-4d47-8e18-408d2e73b813}" enabled="1" method="Privileged" siteId="{2b931bbb-a7e2-453c-98f9-554f1ac0414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Tri Hiep</cp:lastModifiedBy>
  <dcterms:created xsi:type="dcterms:W3CDTF">2026-04-24T19:43:19Z</dcterms:created>
  <dcterms:modified xsi:type="dcterms:W3CDTF">2026-05-23T16:46:39Z</dcterms:modified>
</cp:coreProperties>
</file>